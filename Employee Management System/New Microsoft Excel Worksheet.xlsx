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ity\Desktop\Projects\Employee Management System\"/>
    </mc:Choice>
  </mc:AlternateContent>
  <xr:revisionPtr revIDLastSave="0" documentId="13_ncr:1_{30116A36-1E83-4413-A687-2EE75EAE79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Q22" i="1"/>
  <c r="O22" i="1"/>
  <c r="Q21" i="1"/>
  <c r="O21" i="1"/>
  <c r="O20" i="1"/>
  <c r="Q20" i="1" s="1"/>
  <c r="S7" i="1"/>
  <c r="M8" i="1"/>
  <c r="I9" i="1"/>
  <c r="S6" i="1"/>
  <c r="J12" i="1"/>
  <c r="J11" i="1"/>
  <c r="J13" i="1"/>
  <c r="K4" i="1"/>
  <c r="M9" i="1"/>
</calcChain>
</file>

<file path=xl/sharedStrings.xml><?xml version="1.0" encoding="utf-8"?>
<sst xmlns="http://schemas.openxmlformats.org/spreadsheetml/2006/main" count="3" uniqueCount="3">
  <si>
    <t>kwh</t>
  </si>
  <si>
    <t>Drum</t>
  </si>
  <si>
    <t>Briq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</si>
</sst>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3:S23"/>
  <sheetViews>
    <sheetView tabSelected="1" workbookViewId="0">
      <selection activeCell="K6" sqref="K6"/>
    </sheetView>
  </sheetViews>
  <sheetFormatPr defaultRowHeight="14.4" x14ac:dyDescent="0.3"/>
  <cols>
    <col min="8" max="8" width="10.33203125" bestFit="1" customWidth="1"/>
  </cols>
  <sheetData>
    <row r="3" spans="8:19" x14ac:dyDescent="0.3">
      <c r="I3" s="1">
        <v>46121</v>
      </c>
      <c r="J3" s="1">
        <v>46122</v>
      </c>
    </row>
    <row r="4" spans="8:19" x14ac:dyDescent="0.3">
      <c r="H4">
        <v>8362.0499999999993</v>
      </c>
      <c r="I4">
        <v>178.37</v>
      </c>
      <c r="J4">
        <v>192.75</v>
      </c>
      <c r="K4">
        <f>SUM(H4:J4)</f>
        <v>8733.17</v>
      </c>
    </row>
    <row r="5" spans="8:19" x14ac:dyDescent="0.3">
      <c r="H5">
        <v>7916.22</v>
      </c>
      <c r="I5">
        <v>555.245</v>
      </c>
      <c r="K5">
        <f>K4-I5</f>
        <v>8177.9250000000002</v>
      </c>
      <c r="M5" t="s">
        <v>1</v>
      </c>
      <c r="P5" t="s">
        <v>0</v>
      </c>
      <c r="Q5" t="s">
        <v>2</v>
      </c>
    </row>
    <row r="6" spans="8:19" x14ac:dyDescent="0.3">
      <c r="I6">
        <v>202.95</v>
      </c>
      <c r="K6">
        <f>K4-H5-I5</f>
        <v>261.70499999999981</v>
      </c>
      <c r="M6">
        <v>60</v>
      </c>
      <c r="P6">
        <v>8800</v>
      </c>
      <c r="Q6">
        <v>22000</v>
      </c>
      <c r="S6">
        <f>440000+35000+30000</f>
        <v>505000</v>
      </c>
    </row>
    <row r="7" spans="8:19" x14ac:dyDescent="0.3">
      <c r="I7">
        <v>180.41</v>
      </c>
      <c r="M7">
        <v>97</v>
      </c>
      <c r="P7">
        <v>11600</v>
      </c>
      <c r="Q7">
        <v>32000</v>
      </c>
      <c r="S7">
        <f>456000+35000+30000</f>
        <v>521000</v>
      </c>
    </row>
    <row r="8" spans="8:19" x14ac:dyDescent="0.3">
      <c r="I8">
        <v>163.35</v>
      </c>
      <c r="M8">
        <f>280-M7-M6</f>
        <v>123</v>
      </c>
      <c r="Q8">
        <v>2000</v>
      </c>
    </row>
    <row r="9" spans="8:19" x14ac:dyDescent="0.3">
      <c r="I9">
        <f>SUM(I6:I8)</f>
        <v>546.71</v>
      </c>
      <c r="M9">
        <f ca="1">SUM(M6:M9)</f>
        <v>0</v>
      </c>
    </row>
    <row r="10" spans="8:19" x14ac:dyDescent="0.3">
      <c r="M10">
        <v>53</v>
      </c>
      <c r="O10">
        <v>96</v>
      </c>
    </row>
    <row r="11" spans="8:19" x14ac:dyDescent="0.3">
      <c r="H11" s="2">
        <v>46120</v>
      </c>
      <c r="I11">
        <v>133</v>
      </c>
      <c r="J11">
        <f>+I11*0.48</f>
        <v>63.839999999999996</v>
      </c>
      <c r="M11">
        <v>47</v>
      </c>
    </row>
    <row r="12" spans="8:19" x14ac:dyDescent="0.3">
      <c r="H12" s="2">
        <v>46120</v>
      </c>
      <c r="I12">
        <v>125</v>
      </c>
      <c r="J12">
        <f>+I12*0.48</f>
        <v>60</v>
      </c>
      <c r="N12">
        <v>4</v>
      </c>
    </row>
    <row r="13" spans="8:19" x14ac:dyDescent="0.3">
      <c r="H13" s="2">
        <v>46120</v>
      </c>
      <c r="I13">
        <v>76</v>
      </c>
      <c r="J13">
        <f>+I13*0.48</f>
        <v>36.479999999999997</v>
      </c>
    </row>
    <row r="20" spans="13:17" x14ac:dyDescent="0.3">
      <c r="M20">
        <v>86</v>
      </c>
      <c r="N20">
        <v>0.56499999999999995</v>
      </c>
      <c r="O20">
        <f>N20*M20</f>
        <v>48.589999999999996</v>
      </c>
      <c r="P20">
        <v>32.99</v>
      </c>
      <c r="Q20">
        <f>+SUM(O20:P20)</f>
        <v>81.58</v>
      </c>
    </row>
    <row r="21" spans="13:17" x14ac:dyDescent="0.3">
      <c r="M21">
        <v>297</v>
      </c>
      <c r="N21">
        <v>0.56499999999999995</v>
      </c>
      <c r="O21">
        <f>N21*M21</f>
        <v>167.80499999999998</v>
      </c>
      <c r="Q21">
        <f>+SUM(O21:P21)</f>
        <v>167.80499999999998</v>
      </c>
    </row>
    <row r="22" spans="13:17" x14ac:dyDescent="0.3">
      <c r="M22">
        <v>272</v>
      </c>
      <c r="N22">
        <v>0.56499999999999995</v>
      </c>
      <c r="O22">
        <f>N22*M22</f>
        <v>153.67999999999998</v>
      </c>
      <c r="P22">
        <v>30.81</v>
      </c>
      <c r="Q22">
        <f>+SUM(O22:P22)</f>
        <v>184.48999999999998</v>
      </c>
    </row>
    <row r="23" spans="13:17" x14ac:dyDescent="0.3">
      <c r="Q23">
        <v>202.95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Patil</dc:creator>
  <cp:lastModifiedBy>Aditya Patil</cp:lastModifiedBy>
  <dcterms:created xsi:type="dcterms:W3CDTF">2015-06-05T18:17:20Z</dcterms:created>
  <dcterms:modified xsi:type="dcterms:W3CDTF">2026-04-11T14:58:18Z</dcterms:modified>
</cp:coreProperties>
</file>